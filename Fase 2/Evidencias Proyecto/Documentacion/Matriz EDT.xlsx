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KJKU6QDjGyLNB3/1MIOMIEA71NbBieFm8vDDVtAnBJQ="/>
    </ext>
  </extLst>
</workbook>
</file>

<file path=xl/sharedStrings.xml><?xml version="1.0" encoding="utf-8"?>
<sst xmlns="http://schemas.openxmlformats.org/spreadsheetml/2006/main" count="179" uniqueCount="85">
  <si>
    <t>Matriz Estructura de descomposición de tareas EDT</t>
  </si>
  <si>
    <t>DIAS</t>
  </si>
  <si>
    <t>HORAS POR ACTIVIDAD O ENTREGABLE</t>
  </si>
  <si>
    <t>DICCIONARIO EDT</t>
  </si>
  <si>
    <t>Fase de Planificación</t>
  </si>
  <si>
    <t>Jefe de Proyecto</t>
  </si>
  <si>
    <t>Analista Programador</t>
  </si>
  <si>
    <t>DBA</t>
  </si>
  <si>
    <t>QA</t>
  </si>
  <si>
    <t>Diseñador</t>
  </si>
  <si>
    <t>ROL ACTOR</t>
  </si>
  <si>
    <t>Sigla</t>
  </si>
  <si>
    <t>NOMBRE ACTOR</t>
  </si>
  <si>
    <t>Ideas De proyecto(Primera Reunion)</t>
  </si>
  <si>
    <t>JP</t>
  </si>
  <si>
    <t>Freddy Cardenas</t>
  </si>
  <si>
    <t>Minuta de Reuniones</t>
  </si>
  <si>
    <t>AP</t>
  </si>
  <si>
    <t>Kevin Bustos</t>
  </si>
  <si>
    <t>Caso de negocios y Plan de trabajo</t>
  </si>
  <si>
    <t>Administrador BD</t>
  </si>
  <si>
    <t>Antonio Martinez</t>
  </si>
  <si>
    <t>MockUps</t>
  </si>
  <si>
    <t>Calidad Y Testing</t>
  </si>
  <si>
    <t>Luis Mardones</t>
  </si>
  <si>
    <t>Acta de Constitucion</t>
  </si>
  <si>
    <t>DG</t>
  </si>
  <si>
    <t>Mario Silva</t>
  </si>
  <si>
    <t>EDT(Estructura de Desglose De trabajo)</t>
  </si>
  <si>
    <t>Matriz EDT</t>
  </si>
  <si>
    <t>Planilla de Requerimienos</t>
  </si>
  <si>
    <t>Carta Gantt</t>
  </si>
  <si>
    <t>Diagrama de Casos de Uso</t>
  </si>
  <si>
    <t>Documento de Casos de Uso extendido</t>
  </si>
  <si>
    <t>Documentacion ERS</t>
  </si>
  <si>
    <t>Presentacion 1</t>
  </si>
  <si>
    <t>Total horas Fase Planificacion</t>
  </si>
  <si>
    <t>Fase de Desarrollo</t>
  </si>
  <si>
    <t>Matriz RACI</t>
  </si>
  <si>
    <t>Matriz de Riesgos</t>
  </si>
  <si>
    <t>Matriz de Control de cambios</t>
  </si>
  <si>
    <t>Documento de Proceso de negocios</t>
  </si>
  <si>
    <t>Documento avance Spring</t>
  </si>
  <si>
    <t>Diccionario de Datos</t>
  </si>
  <si>
    <t>DAS(Documento Arquitectura de Sistema)</t>
  </si>
  <si>
    <t>Documentos Personales</t>
  </si>
  <si>
    <t>Documentos Grupales</t>
  </si>
  <si>
    <t>Desarrollo Pagina Web</t>
  </si>
  <si>
    <t>Desarrollo Aplicacion de Escritorio</t>
  </si>
  <si>
    <t>Presentacion Fase 2</t>
  </si>
  <si>
    <t>Fase de Presentacion</t>
  </si>
  <si>
    <t>Verificacion de Alcances</t>
  </si>
  <si>
    <t>Planilla de Registro de Defectos</t>
  </si>
  <si>
    <t>Plan de Pruebas</t>
  </si>
  <si>
    <t>Plan de Capacitacion</t>
  </si>
  <si>
    <t>Matriz de Prueba BD</t>
  </si>
  <si>
    <t>Manual de Usuario</t>
  </si>
  <si>
    <t>Informe Cierre de Proyecto</t>
  </si>
  <si>
    <t>Presentacion Fase 3</t>
  </si>
  <si>
    <t>Total Horas Proyecto</t>
  </si>
  <si>
    <t>SIGLA</t>
  </si>
  <si>
    <t>ROL</t>
  </si>
  <si>
    <t>NOMBRE</t>
  </si>
  <si>
    <t>VALOR HORA HH</t>
  </si>
  <si>
    <t>HORAS</t>
  </si>
  <si>
    <t>FASE PLANIFICACION</t>
  </si>
  <si>
    <t>COSTO POR HORA</t>
  </si>
  <si>
    <t>COSTO x HORA</t>
  </si>
  <si>
    <t>Sueldo mes</t>
  </si>
  <si>
    <t>Desarrollador BD</t>
  </si>
  <si>
    <t>TOTAL FASE PLANIFICACION</t>
  </si>
  <si>
    <t xml:space="preserve">VALOR HORA HH </t>
  </si>
  <si>
    <t>FASE DISEÑO</t>
  </si>
  <si>
    <t>COSTO HH POR ROL</t>
  </si>
  <si>
    <t>TOTAL FASE DESARROLLO</t>
  </si>
  <si>
    <t>TOTAL HH</t>
  </si>
  <si>
    <t>FASE DESARROLLO</t>
  </si>
  <si>
    <t>COSTO POR FASE</t>
  </si>
  <si>
    <t>Fase de Análisis y Diseño</t>
  </si>
  <si>
    <t>TOTAL HH FASES</t>
  </si>
  <si>
    <t>TOTAL FASE PRESENTACION</t>
  </si>
  <si>
    <t>Costo Final del Proyecto</t>
  </si>
  <si>
    <t xml:space="preserve">TOTAL Costo HH </t>
  </si>
  <si>
    <t>UTILIDAD + Infraestructura</t>
  </si>
  <si>
    <t>PRECIO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</si>
</sst>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 ;\-0\ "/>
    <numFmt numFmtId="165" formatCode="_ &quot;$&quot;* #,##0_ ;_ &quot;$&quot;* \-#,##0_ ;_ &quot;$&quot;* &quot;-&quot;_ ;_ @_ "/>
    <numFmt numFmtId="166" formatCode="&quot;$&quot;#,##0;[Red]&quot;$&quot;\-#,##0"/>
  </numFmts>
  <fonts count="6">
    <font>
      <sz val="11.0"/>
      <color theme="1"/>
      <name val="Calibri"/>
      <scheme val="minor"/>
    </font>
    <font>
      <sz val="14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2F2F2"/>
        <bgColor rgb="FFF2F2F2"/>
      </patternFill>
    </fill>
  </fills>
  <borders count="13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3" fontId="3" numFmtId="0" xfId="0" applyBorder="1" applyFill="1" applyFont="1"/>
    <xf borderId="3" fillId="3" fontId="3" numFmtId="0" xfId="0" applyBorder="1" applyFont="1"/>
    <xf borderId="3" fillId="3" fontId="3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 readingOrder="0"/>
    </xf>
    <xf borderId="8" fillId="4" fontId="3" numFmtId="0" xfId="0" applyAlignment="1" applyBorder="1" applyFill="1" applyFont="1">
      <alignment vertical="bottom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/>
    </xf>
    <xf borderId="3" fillId="4" fontId="3" numFmtId="0" xfId="0" applyAlignment="1" applyBorder="1" applyFont="1">
      <alignment readingOrder="0" vertical="bottom"/>
    </xf>
    <xf borderId="9" fillId="4" fontId="3" numFmtId="0" xfId="0" applyAlignment="1" applyBorder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readingOrder="0"/>
    </xf>
    <xf borderId="8" fillId="4" fontId="3" numFmtId="0" xfId="0" applyAlignment="1" applyBorder="1" applyFont="1">
      <alignment readingOrder="0" vertical="bottom"/>
    </xf>
    <xf borderId="4" fillId="4" fontId="3" numFmtId="0" xfId="0" applyAlignment="1" applyBorder="1" applyFont="1">
      <alignment readingOrder="0" vertical="bottom"/>
    </xf>
    <xf borderId="4" fillId="5" fontId="3" numFmtId="0" xfId="0" applyAlignment="1" applyBorder="1" applyFill="1" applyFont="1">
      <alignment readingOrder="0"/>
    </xf>
    <xf borderId="3" fillId="5" fontId="3" numFmtId="0" xfId="0" applyBorder="1" applyFont="1"/>
    <xf borderId="3" fillId="5" fontId="3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readingOrder="0"/>
    </xf>
    <xf borderId="4" fillId="4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readingOrder="0"/>
    </xf>
    <xf borderId="10" fillId="4" fontId="3" numFmtId="0" xfId="0" applyAlignment="1" applyBorder="1" applyFont="1">
      <alignment vertical="bottom"/>
    </xf>
    <xf borderId="4" fillId="6" fontId="3" numFmtId="0" xfId="0" applyAlignment="1" applyBorder="1" applyFill="1" applyFont="1">
      <alignment readingOrder="0"/>
    </xf>
    <xf borderId="3" fillId="6" fontId="3" numFmtId="0" xfId="0" applyBorder="1" applyFont="1"/>
    <xf borderId="3" fillId="6" fontId="3" numFmtId="0" xfId="0" applyAlignment="1" applyBorder="1" applyFont="1">
      <alignment horizontal="center" shrinkToFit="0" wrapText="1"/>
    </xf>
    <xf borderId="3" fillId="3" fontId="4" numFmtId="0" xfId="0" applyAlignment="1" applyBorder="1" applyFont="1">
      <alignment readingOrder="0"/>
    </xf>
    <xf borderId="3" fillId="3" fontId="4" numFmtId="0" xfId="0" applyBorder="1" applyFont="1"/>
    <xf borderId="0" fillId="7" fontId="4" numFmtId="0" xfId="0" applyFill="1" applyFont="1"/>
    <xf borderId="11" fillId="3" fontId="3" numFmtId="0" xfId="0" applyAlignment="1" applyBorder="1" applyFont="1">
      <alignment horizontal="center"/>
    </xf>
    <xf borderId="12" fillId="0" fontId="2" numFmtId="0" xfId="0" applyBorder="1" applyFont="1"/>
    <xf borderId="3" fillId="0" fontId="3" numFmtId="0" xfId="0" applyBorder="1" applyFont="1"/>
    <xf borderId="3" fillId="0" fontId="3" numFmtId="3" xfId="0" applyAlignment="1" applyBorder="1" applyFont="1" applyNumberFormat="1">
      <alignment readingOrder="0"/>
    </xf>
    <xf borderId="3" fillId="0" fontId="3" numFmtId="164" xfId="0" applyBorder="1" applyFont="1" applyNumberFormat="1"/>
    <xf borderId="3" fillId="0" fontId="3" numFmtId="165" xfId="0" applyBorder="1" applyFont="1" applyNumberFormat="1"/>
    <xf borderId="4" fillId="0" fontId="3" numFmtId="0" xfId="0" applyAlignment="1" applyBorder="1" applyFont="1">
      <alignment horizontal="center" readingOrder="0"/>
    </xf>
    <xf borderId="3" fillId="8" fontId="5" numFmtId="0" xfId="0" applyBorder="1" applyFill="1" applyFont="1"/>
    <xf borderId="3" fillId="8" fontId="5" numFmtId="165" xfId="0" applyBorder="1" applyFont="1" applyNumberFormat="1"/>
    <xf borderId="11" fillId="3" fontId="3" numFmtId="0" xfId="0" applyAlignment="1" applyBorder="1" applyFont="1">
      <alignment horizontal="center" readingOrder="0"/>
    </xf>
    <xf borderId="3" fillId="8" fontId="5" numFmtId="0" xfId="0" applyAlignment="1" applyBorder="1" applyFont="1">
      <alignment readingOrder="0"/>
    </xf>
    <xf borderId="3" fillId="0" fontId="3" numFmtId="166" xfId="0" applyAlignment="1" applyBorder="1" applyFont="1" applyNumberFormat="1">
      <alignment readingOrder="0"/>
    </xf>
    <xf borderId="3" fillId="0" fontId="3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9.43"/>
    <col customWidth="1" min="2" max="2" width="7.43"/>
    <col customWidth="1" min="3" max="3" width="10.71"/>
    <col customWidth="1" min="4" max="4" width="12.86"/>
    <col customWidth="1" min="5" max="5" width="9.14"/>
    <col customWidth="1" min="6" max="6" width="8.14"/>
    <col customWidth="1" min="7" max="7" width="10.43"/>
    <col customWidth="1" min="8" max="8" width="5.0"/>
    <col customWidth="1" min="9" max="9" width="23.29"/>
    <col customWidth="1" min="10" max="11" width="29.71"/>
    <col customWidth="1" min="12" max="29" width="10.71"/>
  </cols>
  <sheetData>
    <row r="2">
      <c r="A2" s="1" t="s">
        <v>0</v>
      </c>
      <c r="B2" s="2"/>
      <c r="C2" s="2"/>
      <c r="D2" s="2"/>
    </row>
    <row r="4">
      <c r="B4" s="3" t="s">
        <v>1</v>
      </c>
      <c r="C4" s="4" t="s">
        <v>2</v>
      </c>
      <c r="D4" s="5"/>
      <c r="E4" s="5"/>
      <c r="F4" s="5"/>
      <c r="G4" s="6"/>
      <c r="I4" s="4" t="s">
        <v>3</v>
      </c>
      <c r="J4" s="5"/>
      <c r="K4" s="6"/>
    </row>
    <row r="5">
      <c r="A5" s="7" t="s">
        <v>4</v>
      </c>
      <c r="B5" s="8"/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I5" s="10" t="s">
        <v>10</v>
      </c>
      <c r="J5" s="11" t="s">
        <v>11</v>
      </c>
      <c r="K5" s="10" t="s">
        <v>12</v>
      </c>
    </row>
    <row r="6" outlineLevel="1">
      <c r="A6" s="12" t="s">
        <v>13</v>
      </c>
      <c r="B6" s="13">
        <v>1.0</v>
      </c>
      <c r="C6" s="14">
        <v>4.0</v>
      </c>
      <c r="D6" s="14">
        <v>4.0</v>
      </c>
      <c r="E6" s="14">
        <v>4.0</v>
      </c>
      <c r="F6" s="14">
        <v>4.0</v>
      </c>
      <c r="G6" s="14">
        <v>4.0</v>
      </c>
      <c r="I6" s="13" t="s">
        <v>5</v>
      </c>
      <c r="J6" s="15" t="s">
        <v>14</v>
      </c>
      <c r="K6" s="15" t="s">
        <v>15</v>
      </c>
    </row>
    <row r="7" outlineLevel="1">
      <c r="A7" s="12" t="s">
        <v>16</v>
      </c>
      <c r="B7" s="13">
        <v>1.0</v>
      </c>
      <c r="C7" s="14">
        <v>7.0</v>
      </c>
      <c r="D7" s="14">
        <v>7.0</v>
      </c>
      <c r="E7" s="14">
        <v>7.0</v>
      </c>
      <c r="F7" s="14">
        <v>7.0</v>
      </c>
      <c r="G7" s="14">
        <v>7.0</v>
      </c>
      <c r="I7" s="13" t="s">
        <v>6</v>
      </c>
      <c r="J7" s="16" t="s">
        <v>17</v>
      </c>
      <c r="K7" s="16" t="s">
        <v>18</v>
      </c>
    </row>
    <row r="8" outlineLevel="1">
      <c r="A8" s="12" t="s">
        <v>19</v>
      </c>
      <c r="B8" s="13">
        <v>1.0</v>
      </c>
      <c r="C8" s="14">
        <v>3.0</v>
      </c>
      <c r="D8" s="14">
        <v>3.0</v>
      </c>
      <c r="E8" s="14">
        <v>3.0</v>
      </c>
      <c r="F8" s="14">
        <v>3.0</v>
      </c>
      <c r="G8" s="14">
        <v>3.0</v>
      </c>
      <c r="I8" s="13" t="s">
        <v>20</v>
      </c>
      <c r="J8" s="16" t="s">
        <v>7</v>
      </c>
      <c r="K8" s="16" t="s">
        <v>21</v>
      </c>
    </row>
    <row r="9" outlineLevel="1">
      <c r="A9" s="12" t="s">
        <v>22</v>
      </c>
      <c r="B9" s="13">
        <v>1.0</v>
      </c>
      <c r="C9" s="14">
        <v>2.0</v>
      </c>
      <c r="D9" s="14">
        <v>1.0</v>
      </c>
      <c r="E9" s="14">
        <v>2.0</v>
      </c>
      <c r="F9" s="14">
        <v>3.0</v>
      </c>
      <c r="G9" s="14">
        <v>4.0</v>
      </c>
      <c r="I9" s="13" t="s">
        <v>23</v>
      </c>
      <c r="J9" s="16" t="s">
        <v>8</v>
      </c>
      <c r="K9" s="16" t="s">
        <v>24</v>
      </c>
    </row>
    <row r="10" outlineLevel="1">
      <c r="A10" s="12" t="s">
        <v>25</v>
      </c>
      <c r="B10" s="13">
        <v>1.0</v>
      </c>
      <c r="C10" s="14">
        <v>2.0</v>
      </c>
      <c r="D10" s="14">
        <v>1.0</v>
      </c>
      <c r="E10" s="14">
        <v>2.0</v>
      </c>
      <c r="F10" s="14">
        <v>2.0</v>
      </c>
      <c r="G10" s="14">
        <v>1.0</v>
      </c>
      <c r="I10" s="13" t="s">
        <v>9</v>
      </c>
      <c r="J10" s="16" t="s">
        <v>26</v>
      </c>
      <c r="K10" s="16" t="s">
        <v>27</v>
      </c>
    </row>
    <row r="11" outlineLevel="1">
      <c r="A11" s="12" t="s">
        <v>28</v>
      </c>
      <c r="B11" s="13">
        <v>1.0</v>
      </c>
      <c r="C11" s="14">
        <v>1.0</v>
      </c>
      <c r="D11" s="14">
        <v>1.0</v>
      </c>
      <c r="E11" s="14">
        <v>3.0</v>
      </c>
      <c r="F11" s="14">
        <v>1.0</v>
      </c>
      <c r="G11" s="14">
        <v>2.0</v>
      </c>
      <c r="I11" s="17"/>
      <c r="J11" s="18"/>
      <c r="K11" s="18"/>
    </row>
    <row r="12" outlineLevel="1">
      <c r="A12" s="19" t="s">
        <v>29</v>
      </c>
      <c r="B12" s="13">
        <v>1.0</v>
      </c>
      <c r="C12" s="14">
        <v>2.0</v>
      </c>
      <c r="D12" s="14">
        <v>2.0</v>
      </c>
      <c r="E12" s="14">
        <v>2.0</v>
      </c>
      <c r="F12" s="14">
        <v>1.0</v>
      </c>
      <c r="G12" s="14">
        <v>1.0</v>
      </c>
    </row>
    <row r="13" outlineLevel="1">
      <c r="A13" s="12" t="s">
        <v>30</v>
      </c>
      <c r="B13" s="13">
        <v>4.0</v>
      </c>
      <c r="C13" s="14">
        <v>2.0</v>
      </c>
      <c r="D13" s="14">
        <v>5.0</v>
      </c>
      <c r="E13" s="14">
        <v>1.0</v>
      </c>
      <c r="F13" s="14">
        <v>2.0</v>
      </c>
      <c r="G13" s="14">
        <v>2.0</v>
      </c>
    </row>
    <row r="14" outlineLevel="1">
      <c r="A14" s="12" t="s">
        <v>31</v>
      </c>
      <c r="B14" s="13">
        <v>3.0</v>
      </c>
      <c r="C14" s="14">
        <v>2.0</v>
      </c>
      <c r="D14" s="14">
        <v>2.0</v>
      </c>
      <c r="E14" s="14">
        <v>2.0</v>
      </c>
      <c r="F14" s="14">
        <v>1.0</v>
      </c>
      <c r="G14" s="14">
        <v>1.0</v>
      </c>
    </row>
    <row r="15" outlineLevel="1">
      <c r="A15" s="12" t="s">
        <v>32</v>
      </c>
      <c r="B15" s="13">
        <v>1.0</v>
      </c>
      <c r="C15" s="14">
        <v>1.0</v>
      </c>
      <c r="D15" s="14">
        <v>1.0</v>
      </c>
      <c r="E15" s="14">
        <v>2.0</v>
      </c>
      <c r="F15" s="14">
        <v>2.0</v>
      </c>
      <c r="G15" s="14">
        <v>2.0</v>
      </c>
    </row>
    <row r="16" outlineLevel="1">
      <c r="A16" s="12" t="s">
        <v>33</v>
      </c>
      <c r="B16" s="13">
        <v>2.0</v>
      </c>
      <c r="C16" s="14">
        <v>1.0</v>
      </c>
      <c r="D16" s="14">
        <v>2.0</v>
      </c>
      <c r="E16" s="14">
        <v>1.0</v>
      </c>
      <c r="F16" s="14">
        <v>12.0</v>
      </c>
      <c r="G16" s="14">
        <v>1.0</v>
      </c>
    </row>
    <row r="17" outlineLevel="1">
      <c r="A17" s="12" t="s">
        <v>34</v>
      </c>
      <c r="B17" s="13">
        <v>4.0</v>
      </c>
      <c r="C17" s="14">
        <v>2.0</v>
      </c>
      <c r="D17" s="14">
        <v>2.0</v>
      </c>
      <c r="E17" s="14">
        <v>2.0</v>
      </c>
      <c r="F17" s="14">
        <v>2.0</v>
      </c>
      <c r="G17" s="14">
        <v>2.0</v>
      </c>
    </row>
    <row r="18" outlineLevel="1">
      <c r="A18" s="20" t="s">
        <v>35</v>
      </c>
      <c r="B18" s="13">
        <v>1.0</v>
      </c>
      <c r="C18" s="14">
        <v>1.0</v>
      </c>
      <c r="D18" s="14">
        <v>1.0</v>
      </c>
      <c r="E18" s="14">
        <v>1.0</v>
      </c>
      <c r="F18" s="14">
        <v>1.0</v>
      </c>
      <c r="G18" s="14">
        <v>1.0</v>
      </c>
    </row>
    <row r="19">
      <c r="A19" s="21" t="s">
        <v>36</v>
      </c>
      <c r="B19" s="22">
        <f t="shared" ref="B19:G19" si="1">SUM(B6:B18)</f>
        <v>22</v>
      </c>
      <c r="C19" s="23">
        <f t="shared" si="1"/>
        <v>30</v>
      </c>
      <c r="D19" s="23">
        <f t="shared" si="1"/>
        <v>32</v>
      </c>
      <c r="E19" s="23">
        <f t="shared" si="1"/>
        <v>32</v>
      </c>
      <c r="F19" s="23">
        <f t="shared" si="1"/>
        <v>41</v>
      </c>
      <c r="G19" s="23">
        <f t="shared" si="1"/>
        <v>31</v>
      </c>
    </row>
    <row r="20">
      <c r="A20" s="24" t="s">
        <v>37</v>
      </c>
      <c r="B20" s="8"/>
      <c r="C20" s="9" t="s">
        <v>5</v>
      </c>
      <c r="D20" s="9" t="s">
        <v>6</v>
      </c>
      <c r="E20" s="9" t="s">
        <v>7</v>
      </c>
      <c r="F20" s="9" t="s">
        <v>8</v>
      </c>
      <c r="G20" s="9" t="s">
        <v>9</v>
      </c>
    </row>
    <row r="21" outlineLevel="1">
      <c r="A21" s="25" t="s">
        <v>38</v>
      </c>
      <c r="B21" s="26">
        <v>1.0</v>
      </c>
      <c r="C21" s="14">
        <v>5.0</v>
      </c>
      <c r="D21" s="14">
        <v>3.0</v>
      </c>
      <c r="E21" s="14">
        <v>2.0</v>
      </c>
      <c r="F21" s="14">
        <v>3.0</v>
      </c>
      <c r="G21" s="14">
        <v>2.0</v>
      </c>
    </row>
    <row r="22" outlineLevel="1">
      <c r="A22" s="25" t="s">
        <v>39</v>
      </c>
      <c r="B22" s="26">
        <v>1.0</v>
      </c>
      <c r="C22" s="14">
        <v>2.0</v>
      </c>
      <c r="D22" s="14">
        <v>2.0</v>
      </c>
      <c r="E22" s="14">
        <v>1.0</v>
      </c>
      <c r="F22" s="14">
        <v>4.0</v>
      </c>
      <c r="G22" s="14">
        <v>1.0</v>
      </c>
    </row>
    <row r="23" outlineLevel="1">
      <c r="A23" s="25" t="s">
        <v>16</v>
      </c>
      <c r="B23" s="26">
        <v>1.0</v>
      </c>
      <c r="C23" s="14">
        <v>5.0</v>
      </c>
      <c r="D23" s="14">
        <v>5.0</v>
      </c>
      <c r="E23" s="14">
        <v>5.0</v>
      </c>
      <c r="F23" s="14">
        <v>5.0</v>
      </c>
      <c r="G23" s="14">
        <v>5.0</v>
      </c>
    </row>
    <row r="24" outlineLevel="1">
      <c r="A24" s="25" t="s">
        <v>40</v>
      </c>
      <c r="B24" s="26">
        <v>2.0</v>
      </c>
      <c r="C24" s="14">
        <v>2.0</v>
      </c>
      <c r="D24" s="14">
        <v>2.0</v>
      </c>
      <c r="E24" s="14">
        <v>2.0</v>
      </c>
      <c r="F24" s="14">
        <v>2.0</v>
      </c>
      <c r="G24" s="14">
        <v>2.0</v>
      </c>
    </row>
    <row r="25" outlineLevel="1">
      <c r="A25" s="25" t="s">
        <v>41</v>
      </c>
      <c r="B25" s="26">
        <v>2.0</v>
      </c>
      <c r="C25" s="14">
        <v>3.0</v>
      </c>
      <c r="D25" s="14">
        <v>3.0</v>
      </c>
      <c r="E25" s="14">
        <v>3.0</v>
      </c>
      <c r="F25" s="14">
        <v>3.0</v>
      </c>
      <c r="G25" s="14">
        <v>3.0</v>
      </c>
    </row>
    <row r="26" outlineLevel="1">
      <c r="A26" s="25" t="s">
        <v>42</v>
      </c>
      <c r="B26" s="26">
        <v>1.0</v>
      </c>
      <c r="C26" s="14">
        <v>2.0</v>
      </c>
      <c r="D26" s="14">
        <v>1.0</v>
      </c>
      <c r="E26" s="14">
        <v>2.0</v>
      </c>
      <c r="F26" s="14">
        <v>1.0</v>
      </c>
      <c r="G26" s="14">
        <v>2.0</v>
      </c>
    </row>
    <row r="27" outlineLevel="1">
      <c r="A27" s="12" t="s">
        <v>43</v>
      </c>
      <c r="B27" s="26">
        <v>1.0</v>
      </c>
      <c r="C27" s="14">
        <v>5.0</v>
      </c>
      <c r="D27" s="14">
        <v>1.0</v>
      </c>
      <c r="E27" s="14">
        <v>5.0</v>
      </c>
      <c r="F27" s="14">
        <v>1.0</v>
      </c>
      <c r="G27" s="14">
        <v>1.0</v>
      </c>
    </row>
    <row r="28" outlineLevel="1">
      <c r="A28" s="27" t="s">
        <v>44</v>
      </c>
      <c r="B28" s="26">
        <v>1.0</v>
      </c>
      <c r="C28" s="14">
        <v>2.0</v>
      </c>
      <c r="D28" s="14">
        <v>1.0</v>
      </c>
      <c r="E28" s="14">
        <v>2.0</v>
      </c>
      <c r="F28" s="14">
        <v>2.0</v>
      </c>
      <c r="G28" s="14">
        <v>1.0</v>
      </c>
    </row>
    <row r="29" outlineLevel="1">
      <c r="A29" s="12" t="s">
        <v>45</v>
      </c>
      <c r="B29" s="26">
        <v>1.0</v>
      </c>
      <c r="C29" s="14">
        <v>1.0</v>
      </c>
      <c r="D29" s="14">
        <v>1.0</v>
      </c>
      <c r="E29" s="14">
        <v>1.0</v>
      </c>
      <c r="F29" s="14">
        <v>1.0</v>
      </c>
      <c r="G29" s="14">
        <v>1.0</v>
      </c>
    </row>
    <row r="30" outlineLevel="1">
      <c r="A30" s="12" t="s">
        <v>46</v>
      </c>
      <c r="B30" s="26">
        <v>1.0</v>
      </c>
      <c r="C30" s="14">
        <v>1.0</v>
      </c>
      <c r="D30" s="14">
        <v>1.0</v>
      </c>
      <c r="E30" s="14">
        <v>1.0</v>
      </c>
      <c r="F30" s="14">
        <v>1.0</v>
      </c>
      <c r="G30" s="14">
        <v>1.0</v>
      </c>
    </row>
    <row r="31" outlineLevel="1">
      <c r="A31" s="12" t="s">
        <v>47</v>
      </c>
      <c r="B31" s="26">
        <v>14.0</v>
      </c>
      <c r="C31" s="14">
        <v>48.0</v>
      </c>
      <c r="D31" s="14">
        <v>45.0</v>
      </c>
      <c r="E31" s="14">
        <v>46.0</v>
      </c>
      <c r="F31" s="14">
        <v>45.0</v>
      </c>
      <c r="G31" s="14">
        <v>44.0</v>
      </c>
    </row>
    <row r="32" outlineLevel="1">
      <c r="A32" s="12" t="s">
        <v>48</v>
      </c>
      <c r="B32" s="26">
        <v>12.0</v>
      </c>
      <c r="C32" s="14">
        <v>37.0</v>
      </c>
      <c r="D32" s="14">
        <v>38.0</v>
      </c>
      <c r="E32" s="14">
        <v>36.0</v>
      </c>
      <c r="F32" s="14">
        <v>35.0</v>
      </c>
      <c r="G32" s="14">
        <v>37.0</v>
      </c>
    </row>
    <row r="33" outlineLevel="1">
      <c r="A33" s="12" t="s">
        <v>49</v>
      </c>
      <c r="B33" s="26">
        <v>1.0</v>
      </c>
      <c r="C33" s="14">
        <v>1.0</v>
      </c>
      <c r="D33" s="14">
        <v>1.0</v>
      </c>
      <c r="E33" s="14">
        <v>1.0</v>
      </c>
      <c r="F33" s="14">
        <v>1.0</v>
      </c>
      <c r="G33" s="14">
        <v>1.0</v>
      </c>
    </row>
    <row r="34">
      <c r="A34" s="28" t="s">
        <v>36</v>
      </c>
      <c r="B34" s="29">
        <f t="shared" ref="B34:G34" si="2">SUM(B21:B33)</f>
        <v>39</v>
      </c>
      <c r="C34" s="30">
        <f t="shared" si="2"/>
        <v>114</v>
      </c>
      <c r="D34" s="30">
        <f t="shared" si="2"/>
        <v>104</v>
      </c>
      <c r="E34" s="30">
        <f t="shared" si="2"/>
        <v>107</v>
      </c>
      <c r="F34" s="30">
        <f t="shared" si="2"/>
        <v>104</v>
      </c>
      <c r="G34" s="30">
        <f t="shared" si="2"/>
        <v>101</v>
      </c>
    </row>
    <row r="35">
      <c r="A35" s="24" t="s">
        <v>50</v>
      </c>
      <c r="B35" s="8"/>
      <c r="C35" s="9" t="s">
        <v>5</v>
      </c>
      <c r="D35" s="9" t="s">
        <v>6</v>
      </c>
      <c r="E35" s="9" t="s">
        <v>7</v>
      </c>
      <c r="F35" s="9" t="s">
        <v>8</v>
      </c>
      <c r="G35" s="9" t="s">
        <v>9</v>
      </c>
    </row>
    <row r="36" ht="18.0" customHeight="1" outlineLevel="1">
      <c r="A36" s="12" t="s">
        <v>45</v>
      </c>
      <c r="B36" s="26">
        <v>1.0</v>
      </c>
      <c r="C36" s="14">
        <v>2.0</v>
      </c>
      <c r="D36" s="14">
        <v>2.0</v>
      </c>
      <c r="E36" s="14">
        <v>2.0</v>
      </c>
      <c r="F36" s="14">
        <v>2.0</v>
      </c>
      <c r="G36" s="14">
        <v>2.0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ht="18.0" customHeight="1" outlineLevel="1">
      <c r="A37" s="12" t="s">
        <v>46</v>
      </c>
      <c r="B37" s="26">
        <v>1.0</v>
      </c>
      <c r="C37" s="14">
        <v>2.0</v>
      </c>
      <c r="D37" s="14">
        <v>2.0</v>
      </c>
      <c r="E37" s="14">
        <v>2.0</v>
      </c>
      <c r="F37" s="14">
        <v>2.0</v>
      </c>
      <c r="G37" s="14">
        <v>2.0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ht="18.0" customHeight="1" outlineLevel="1">
      <c r="A38" s="12" t="s">
        <v>51</v>
      </c>
      <c r="B38" s="26">
        <v>2.0</v>
      </c>
      <c r="C38" s="14">
        <v>3.0</v>
      </c>
      <c r="D38" s="14">
        <v>3.0</v>
      </c>
      <c r="E38" s="14">
        <v>2.0</v>
      </c>
      <c r="F38" s="14">
        <v>3.0</v>
      </c>
      <c r="G38" s="14">
        <v>3.0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ht="18.0" customHeight="1" outlineLevel="1">
      <c r="A39" s="12" t="s">
        <v>52</v>
      </c>
      <c r="B39" s="26">
        <v>3.0</v>
      </c>
      <c r="C39" s="14">
        <v>8.0</v>
      </c>
      <c r="D39" s="14">
        <v>8.0</v>
      </c>
      <c r="E39" s="14">
        <v>8.0</v>
      </c>
      <c r="F39" s="14">
        <v>8.0</v>
      </c>
      <c r="G39" s="14">
        <v>8.0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ht="18.0" customHeight="1" outlineLevel="1">
      <c r="A40" s="12" t="s">
        <v>53</v>
      </c>
      <c r="B40" s="26">
        <v>6.0</v>
      </c>
      <c r="C40" s="14">
        <v>23.0</v>
      </c>
      <c r="D40" s="14">
        <v>23.0</v>
      </c>
      <c r="E40" s="14">
        <v>22.0</v>
      </c>
      <c r="F40" s="14">
        <v>25.0</v>
      </c>
      <c r="G40" s="14">
        <v>23.0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ht="18.0" customHeight="1" outlineLevel="1">
      <c r="A41" s="12" t="s">
        <v>54</v>
      </c>
      <c r="B41" s="26">
        <v>3.0</v>
      </c>
      <c r="C41" s="14">
        <v>9.0</v>
      </c>
      <c r="D41" s="14">
        <v>8.0</v>
      </c>
      <c r="E41" s="14">
        <v>7.0</v>
      </c>
      <c r="F41" s="14">
        <v>4.0</v>
      </c>
      <c r="G41" s="14">
        <v>7.0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ht="18.0" customHeight="1" outlineLevel="1">
      <c r="A42" s="12" t="s">
        <v>55</v>
      </c>
      <c r="B42" s="26">
        <v>3.0</v>
      </c>
      <c r="C42" s="14">
        <v>6.0</v>
      </c>
      <c r="D42" s="14">
        <v>5.0</v>
      </c>
      <c r="E42" s="14">
        <v>6.0</v>
      </c>
      <c r="F42" s="14">
        <v>6.0</v>
      </c>
      <c r="G42" s="14">
        <v>6.0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ht="18.0" customHeight="1" outlineLevel="1">
      <c r="A43" s="12" t="s">
        <v>40</v>
      </c>
      <c r="B43" s="26">
        <v>2.0</v>
      </c>
      <c r="C43" s="14">
        <v>4.0</v>
      </c>
      <c r="D43" s="14">
        <v>4.0</v>
      </c>
      <c r="E43" s="14">
        <v>2.0</v>
      </c>
      <c r="F43" s="14">
        <v>2.0</v>
      </c>
      <c r="G43" s="14">
        <v>4.0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ht="18.0" customHeight="1" outlineLevel="1">
      <c r="A44" s="12" t="s">
        <v>56</v>
      </c>
      <c r="B44" s="26">
        <v>2.0</v>
      </c>
      <c r="C44" s="14">
        <v>4.0</v>
      </c>
      <c r="D44" s="14">
        <v>3.0</v>
      </c>
      <c r="E44" s="14">
        <v>3.0</v>
      </c>
      <c r="F44" s="14">
        <v>2.0</v>
      </c>
      <c r="G44" s="14">
        <v>4.0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ht="18.0" customHeight="1" outlineLevel="1">
      <c r="A45" s="12" t="s">
        <v>57</v>
      </c>
      <c r="B45" s="26">
        <v>3.0</v>
      </c>
      <c r="C45" s="14">
        <v>7.0</v>
      </c>
      <c r="D45" s="14">
        <v>7.0</v>
      </c>
      <c r="E45" s="14">
        <v>8.0</v>
      </c>
      <c r="F45" s="14">
        <v>8.0</v>
      </c>
      <c r="G45" s="14">
        <v>9.0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ht="18.0" customHeight="1" outlineLevel="1">
      <c r="A46" s="12" t="s">
        <v>42</v>
      </c>
      <c r="B46" s="26">
        <v>2.0</v>
      </c>
      <c r="C46" s="14">
        <v>2.0</v>
      </c>
      <c r="D46" s="14">
        <v>2.0</v>
      </c>
      <c r="E46" s="14">
        <v>2.0</v>
      </c>
      <c r="F46" s="14">
        <v>1.0</v>
      </c>
      <c r="G46" s="14">
        <v>3.0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ht="18.0" customHeight="1" outlineLevel="1">
      <c r="A47" s="12" t="s">
        <v>58</v>
      </c>
      <c r="B47" s="26">
        <v>1.0</v>
      </c>
      <c r="C47" s="14">
        <v>1.0</v>
      </c>
      <c r="D47" s="14">
        <v>1.0</v>
      </c>
      <c r="E47" s="14">
        <v>1.0</v>
      </c>
      <c r="F47" s="14">
        <v>1.0</v>
      </c>
      <c r="G47" s="14">
        <v>1.0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ht="15.75" customHeight="1">
      <c r="A48" s="28" t="s">
        <v>36</v>
      </c>
      <c r="B48" s="29">
        <f>SUM(B36:B47)</f>
        <v>29</v>
      </c>
      <c r="C48" s="30">
        <f t="shared" ref="C48:G48" si="3">SUM(C35:C47)</f>
        <v>71</v>
      </c>
      <c r="D48" s="30">
        <f t="shared" si="3"/>
        <v>68</v>
      </c>
      <c r="E48" s="30">
        <f t="shared" si="3"/>
        <v>65</v>
      </c>
      <c r="F48" s="30">
        <f t="shared" si="3"/>
        <v>64</v>
      </c>
      <c r="G48" s="30">
        <f t="shared" si="3"/>
        <v>72</v>
      </c>
    </row>
    <row r="49" ht="15.75" customHeight="1">
      <c r="A49" s="24" t="s">
        <v>59</v>
      </c>
      <c r="B49" s="31">
        <f t="shared" ref="B49:G49" si="4">SUM(B19,B34,B48)</f>
        <v>90</v>
      </c>
      <c r="C49" s="32">
        <f t="shared" si="4"/>
        <v>215</v>
      </c>
      <c r="D49" s="32">
        <f t="shared" si="4"/>
        <v>204</v>
      </c>
      <c r="E49" s="32">
        <f t="shared" si="4"/>
        <v>204</v>
      </c>
      <c r="F49" s="32">
        <f t="shared" si="4"/>
        <v>209</v>
      </c>
      <c r="G49" s="32">
        <f t="shared" si="4"/>
        <v>204</v>
      </c>
      <c r="H49" s="33">
        <f>SUM(C49:G49)</f>
        <v>1036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C4:G4"/>
    <mergeCell ref="I4:K4"/>
    <mergeCell ref="A2:D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8" width="28.14"/>
    <col customWidth="1" min="9" max="9" width="48.43"/>
    <col customWidth="1" min="10" max="10" width="17.71"/>
    <col customWidth="1" min="11" max="11" width="15.29"/>
    <col customWidth="1" min="12" max="26" width="10.71"/>
  </cols>
  <sheetData>
    <row r="2">
      <c r="A2" s="10" t="s">
        <v>60</v>
      </c>
      <c r="B2" s="10" t="s">
        <v>61</v>
      </c>
      <c r="C2" s="10" t="s">
        <v>62</v>
      </c>
      <c r="D2" s="9" t="s">
        <v>63</v>
      </c>
      <c r="E2" s="10" t="s">
        <v>64</v>
      </c>
      <c r="F2" s="10" t="s">
        <v>65</v>
      </c>
      <c r="H2" s="34" t="s">
        <v>66</v>
      </c>
      <c r="I2" s="35"/>
      <c r="J2" s="35"/>
      <c r="K2" s="35"/>
    </row>
    <row r="3">
      <c r="A3" s="36" t="s">
        <v>14</v>
      </c>
      <c r="B3" s="36" t="s">
        <v>5</v>
      </c>
      <c r="C3" s="15" t="s">
        <v>15</v>
      </c>
      <c r="D3" s="37">
        <v>15000.0</v>
      </c>
      <c r="E3" s="38">
        <f>EDT!C19</f>
        <v>30</v>
      </c>
      <c r="F3" s="39">
        <f t="shared" ref="F3:F7" si="1">D3*E3</f>
        <v>450000</v>
      </c>
      <c r="H3" s="10" t="s">
        <v>61</v>
      </c>
      <c r="I3" s="10" t="s">
        <v>62</v>
      </c>
      <c r="J3" s="10" t="s">
        <v>67</v>
      </c>
      <c r="K3" s="10" t="s">
        <v>68</v>
      </c>
    </row>
    <row r="4">
      <c r="A4" s="36" t="s">
        <v>17</v>
      </c>
      <c r="B4" s="36" t="s">
        <v>6</v>
      </c>
      <c r="C4" s="16" t="s">
        <v>18</v>
      </c>
      <c r="D4" s="37">
        <v>7000.0</v>
      </c>
      <c r="E4" s="38">
        <f>EDT!D19</f>
        <v>32</v>
      </c>
      <c r="F4" s="39">
        <f t="shared" si="1"/>
        <v>224000</v>
      </c>
      <c r="H4" s="36" t="s">
        <v>5</v>
      </c>
      <c r="I4" s="15" t="s">
        <v>15</v>
      </c>
      <c r="J4" s="37">
        <v>15000.0</v>
      </c>
      <c r="K4" s="39">
        <f t="shared" ref="K4:K8" si="2">F3</f>
        <v>450000</v>
      </c>
    </row>
    <row r="5">
      <c r="A5" s="36" t="s">
        <v>7</v>
      </c>
      <c r="B5" s="36" t="s">
        <v>69</v>
      </c>
      <c r="C5" s="16" t="s">
        <v>21</v>
      </c>
      <c r="D5" s="37">
        <v>9000.0</v>
      </c>
      <c r="E5" s="38">
        <f>EDT!E19</f>
        <v>32</v>
      </c>
      <c r="F5" s="39">
        <f t="shared" si="1"/>
        <v>288000</v>
      </c>
      <c r="H5" s="36" t="s">
        <v>6</v>
      </c>
      <c r="I5" s="16" t="s">
        <v>18</v>
      </c>
      <c r="J5" s="37">
        <v>7000.0</v>
      </c>
      <c r="K5" s="39">
        <f t="shared" si="2"/>
        <v>224000</v>
      </c>
    </row>
    <row r="6">
      <c r="A6" s="36" t="s">
        <v>8</v>
      </c>
      <c r="B6" s="36" t="s">
        <v>23</v>
      </c>
      <c r="C6" s="16" t="s">
        <v>24</v>
      </c>
      <c r="D6" s="37">
        <v>6000.0</v>
      </c>
      <c r="E6" s="38">
        <f>EDT!F19</f>
        <v>41</v>
      </c>
      <c r="F6" s="39">
        <f t="shared" si="1"/>
        <v>246000</v>
      </c>
      <c r="H6" s="36" t="s">
        <v>20</v>
      </c>
      <c r="I6" s="16" t="s">
        <v>21</v>
      </c>
      <c r="J6" s="37">
        <v>9000.0</v>
      </c>
      <c r="K6" s="39">
        <f t="shared" si="2"/>
        <v>288000</v>
      </c>
    </row>
    <row r="7">
      <c r="A7" s="13" t="s">
        <v>26</v>
      </c>
      <c r="B7" s="36" t="s">
        <v>9</v>
      </c>
      <c r="C7" s="16" t="s">
        <v>27</v>
      </c>
      <c r="D7" s="37">
        <v>6000.0</v>
      </c>
      <c r="E7" s="38">
        <f>EDT!G19</f>
        <v>31</v>
      </c>
      <c r="F7" s="39">
        <f t="shared" si="1"/>
        <v>186000</v>
      </c>
      <c r="H7" s="36" t="s">
        <v>23</v>
      </c>
      <c r="I7" s="16" t="s">
        <v>24</v>
      </c>
      <c r="J7" s="37">
        <v>6000.0</v>
      </c>
      <c r="K7" s="39">
        <f t="shared" si="2"/>
        <v>246000</v>
      </c>
    </row>
    <row r="8">
      <c r="A8" s="36"/>
      <c r="B8" s="40" t="s">
        <v>70</v>
      </c>
      <c r="C8" s="5"/>
      <c r="D8" s="5"/>
      <c r="E8" s="6"/>
      <c r="F8" s="39">
        <f>SUM(F3:F7)</f>
        <v>1394000</v>
      </c>
      <c r="H8" s="36" t="s">
        <v>9</v>
      </c>
      <c r="I8" s="16" t="s">
        <v>27</v>
      </c>
      <c r="J8" s="37">
        <v>6000.0</v>
      </c>
      <c r="K8" s="39">
        <f t="shared" si="2"/>
        <v>186000</v>
      </c>
    </row>
    <row r="11">
      <c r="A11" s="10" t="s">
        <v>60</v>
      </c>
      <c r="B11" s="10" t="s">
        <v>61</v>
      </c>
      <c r="C11" s="10" t="s">
        <v>62</v>
      </c>
      <c r="D11" s="9" t="s">
        <v>71</v>
      </c>
      <c r="E11" s="10" t="s">
        <v>64</v>
      </c>
      <c r="F11" s="10" t="s">
        <v>72</v>
      </c>
      <c r="H11" s="34" t="s">
        <v>73</v>
      </c>
      <c r="I11" s="35"/>
    </row>
    <row r="12">
      <c r="A12" s="36" t="s">
        <v>14</v>
      </c>
      <c r="B12" s="36" t="s">
        <v>5</v>
      </c>
      <c r="C12" s="15" t="s">
        <v>15</v>
      </c>
      <c r="D12" s="37">
        <v>15000.0</v>
      </c>
      <c r="E12" s="38">
        <f>EDT!C34</f>
        <v>114</v>
      </c>
      <c r="F12" s="39">
        <f t="shared" ref="F12:F16" si="3">D12*E12</f>
        <v>1710000</v>
      </c>
      <c r="H12" s="36" t="s">
        <v>5</v>
      </c>
      <c r="I12" s="39">
        <f t="shared" ref="I12:I16" si="4">F3+F12+F21</f>
        <v>3225000</v>
      </c>
    </row>
    <row r="13">
      <c r="A13" s="36" t="s">
        <v>17</v>
      </c>
      <c r="B13" s="36" t="s">
        <v>6</v>
      </c>
      <c r="C13" s="16" t="s">
        <v>18</v>
      </c>
      <c r="D13" s="37">
        <v>7000.0</v>
      </c>
      <c r="E13" s="38">
        <f>EDT!D34</f>
        <v>104</v>
      </c>
      <c r="F13" s="39">
        <f t="shared" si="3"/>
        <v>728000</v>
      </c>
      <c r="H13" s="36" t="s">
        <v>6</v>
      </c>
      <c r="I13" s="39">
        <f t="shared" si="4"/>
        <v>1428000</v>
      </c>
    </row>
    <row r="14">
      <c r="A14" s="36" t="s">
        <v>7</v>
      </c>
      <c r="B14" s="36" t="s">
        <v>69</v>
      </c>
      <c r="C14" s="16" t="s">
        <v>21</v>
      </c>
      <c r="D14" s="37">
        <v>9000.0</v>
      </c>
      <c r="E14" s="38">
        <f>EDT!E34</f>
        <v>107</v>
      </c>
      <c r="F14" s="39">
        <f t="shared" si="3"/>
        <v>963000</v>
      </c>
      <c r="H14" s="36" t="s">
        <v>20</v>
      </c>
      <c r="I14" s="39">
        <f t="shared" si="4"/>
        <v>1836000</v>
      </c>
    </row>
    <row r="15">
      <c r="A15" s="36" t="s">
        <v>8</v>
      </c>
      <c r="B15" s="36" t="s">
        <v>23</v>
      </c>
      <c r="C15" s="16" t="s">
        <v>24</v>
      </c>
      <c r="D15" s="37">
        <v>6000.0</v>
      </c>
      <c r="E15" s="38">
        <f>EDT!F34</f>
        <v>104</v>
      </c>
      <c r="F15" s="39">
        <f t="shared" si="3"/>
        <v>624000</v>
      </c>
      <c r="H15" s="36" t="s">
        <v>23</v>
      </c>
      <c r="I15" s="39">
        <f t="shared" si="4"/>
        <v>1254000</v>
      </c>
    </row>
    <row r="16">
      <c r="A16" s="13" t="s">
        <v>26</v>
      </c>
      <c r="B16" s="36" t="s">
        <v>9</v>
      </c>
      <c r="C16" s="16" t="s">
        <v>27</v>
      </c>
      <c r="D16" s="37">
        <v>6000.0</v>
      </c>
      <c r="E16" s="38">
        <f>EDT!G34</f>
        <v>101</v>
      </c>
      <c r="F16" s="39">
        <f t="shared" si="3"/>
        <v>606000</v>
      </c>
      <c r="H16" s="36" t="s">
        <v>9</v>
      </c>
      <c r="I16" s="39">
        <f t="shared" si="4"/>
        <v>1224000</v>
      </c>
    </row>
    <row r="17">
      <c r="A17" s="36"/>
      <c r="B17" s="40" t="s">
        <v>74</v>
      </c>
      <c r="C17" s="5"/>
      <c r="D17" s="5"/>
      <c r="E17" s="6"/>
      <c r="F17" s="39">
        <f>SUM(F12:F16)</f>
        <v>4631000</v>
      </c>
      <c r="H17" s="41" t="s">
        <v>75</v>
      </c>
      <c r="I17" s="42">
        <f>SUM(I12:I16)</f>
        <v>8967000</v>
      </c>
    </row>
    <row r="20">
      <c r="A20" s="10" t="s">
        <v>60</v>
      </c>
      <c r="B20" s="10" t="s">
        <v>61</v>
      </c>
      <c r="C20" s="10" t="s">
        <v>62</v>
      </c>
      <c r="D20" s="9" t="s">
        <v>71</v>
      </c>
      <c r="E20" s="10" t="s">
        <v>64</v>
      </c>
      <c r="F20" s="10" t="s">
        <v>76</v>
      </c>
      <c r="H20" s="34" t="s">
        <v>77</v>
      </c>
      <c r="I20" s="35"/>
    </row>
    <row r="21" ht="15.75" customHeight="1">
      <c r="A21" s="36" t="s">
        <v>14</v>
      </c>
      <c r="B21" s="36" t="s">
        <v>5</v>
      </c>
      <c r="C21" s="15" t="s">
        <v>15</v>
      </c>
      <c r="D21" s="37">
        <v>15000.0</v>
      </c>
      <c r="E21" s="38">
        <f>EDT!C48</f>
        <v>71</v>
      </c>
      <c r="F21" s="39">
        <f t="shared" ref="F21:F25" si="5">D21*E21</f>
        <v>1065000</v>
      </c>
      <c r="H21" s="36" t="s">
        <v>4</v>
      </c>
      <c r="I21" s="39">
        <f>F8</f>
        <v>1394000</v>
      </c>
    </row>
    <row r="22" ht="15.75" customHeight="1">
      <c r="A22" s="36" t="s">
        <v>17</v>
      </c>
      <c r="B22" s="36" t="s">
        <v>6</v>
      </c>
      <c r="C22" s="16" t="s">
        <v>18</v>
      </c>
      <c r="D22" s="37">
        <v>7000.0</v>
      </c>
      <c r="E22" s="38">
        <f>EDT!D48</f>
        <v>68</v>
      </c>
      <c r="F22" s="39">
        <f t="shared" si="5"/>
        <v>476000</v>
      </c>
      <c r="H22" s="36" t="s">
        <v>78</v>
      </c>
      <c r="I22" s="39">
        <f>F17</f>
        <v>4631000</v>
      </c>
    </row>
    <row r="23" ht="15.75" customHeight="1">
      <c r="A23" s="36" t="s">
        <v>7</v>
      </c>
      <c r="B23" s="36" t="s">
        <v>69</v>
      </c>
      <c r="C23" s="16" t="s">
        <v>21</v>
      </c>
      <c r="D23" s="37">
        <v>9000.0</v>
      </c>
      <c r="E23" s="38">
        <f>EDT!E48</f>
        <v>65</v>
      </c>
      <c r="F23" s="39">
        <f t="shared" si="5"/>
        <v>585000</v>
      </c>
      <c r="H23" s="36" t="s">
        <v>37</v>
      </c>
      <c r="I23" s="39">
        <f>F26</f>
        <v>2942000</v>
      </c>
    </row>
    <row r="24" ht="15.75" customHeight="1">
      <c r="A24" s="36" t="s">
        <v>8</v>
      </c>
      <c r="B24" s="36" t="s">
        <v>23</v>
      </c>
      <c r="C24" s="16" t="s">
        <v>24</v>
      </c>
      <c r="D24" s="37">
        <v>6000.0</v>
      </c>
      <c r="E24" s="38">
        <f>EDT!F48</f>
        <v>64</v>
      </c>
      <c r="F24" s="39">
        <f t="shared" si="5"/>
        <v>384000</v>
      </c>
      <c r="H24" s="41" t="s">
        <v>79</v>
      </c>
      <c r="I24" s="42">
        <f>SUM(I21:I23)</f>
        <v>8967000</v>
      </c>
    </row>
    <row r="25" ht="15.75" customHeight="1">
      <c r="A25" s="13" t="s">
        <v>26</v>
      </c>
      <c r="B25" s="36" t="s">
        <v>9</v>
      </c>
      <c r="C25" s="16" t="s">
        <v>27</v>
      </c>
      <c r="D25" s="37">
        <v>6000.0</v>
      </c>
      <c r="E25" s="38">
        <f>EDT!G48</f>
        <v>72</v>
      </c>
      <c r="F25" s="39">
        <f t="shared" si="5"/>
        <v>432000</v>
      </c>
    </row>
    <row r="26" ht="15.75" customHeight="1">
      <c r="A26" s="36"/>
      <c r="B26" s="40" t="s">
        <v>80</v>
      </c>
      <c r="C26" s="5"/>
      <c r="D26" s="5"/>
      <c r="E26" s="6"/>
      <c r="F26" s="39">
        <f>SUM(F21:F25)</f>
        <v>2942000</v>
      </c>
      <c r="H26" s="43" t="s">
        <v>81</v>
      </c>
      <c r="I26" s="35"/>
    </row>
    <row r="27" ht="15.75" customHeight="1">
      <c r="H27" s="44" t="s">
        <v>82</v>
      </c>
      <c r="I27" s="42">
        <f>SUM(I24:I26)</f>
        <v>8967000</v>
      </c>
    </row>
    <row r="28" ht="15.75" customHeight="1">
      <c r="H28" s="13" t="s">
        <v>83</v>
      </c>
      <c r="I28" s="45">
        <v>870560.0</v>
      </c>
    </row>
    <row r="29" ht="15.75" customHeight="1">
      <c r="H29" s="36" t="s">
        <v>84</v>
      </c>
      <c r="I29" s="46">
        <f>I27+I28</f>
        <v>9837560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H2:K2"/>
    <mergeCell ref="B8:E8"/>
    <mergeCell ref="H11:I11"/>
    <mergeCell ref="B17:E17"/>
    <mergeCell ref="H20:I20"/>
    <mergeCell ref="B26:E26"/>
    <mergeCell ref="H26:I2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